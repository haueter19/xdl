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dnh\Documents\GitHub\xdl\"/>
    </mc:Choice>
  </mc:AlternateContent>
  <xr:revisionPtr revIDLastSave="0" documentId="8_{0B2FF554-5F37-4E96-8576-3A96777C8742}" xr6:coauthVersionLast="47" xr6:coauthVersionMax="47" xr10:uidLastSave="{00000000-0000-0000-0000-000000000000}"/>
  <bookViews>
    <workbookView xWindow="-120" yWindow="-120" windowWidth="29040" windowHeight="15840" xr2:uid="{9CED3012-0430-4223-95A3-73FB21086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B13" i="1"/>
  <c r="T16" i="1"/>
  <c r="K16" i="1"/>
  <c r="T14" i="1"/>
  <c r="K14" i="1"/>
  <c r="AB14" i="1"/>
  <c r="AA14" i="1"/>
  <c r="Z14" i="1"/>
  <c r="Z15" i="1" s="1"/>
  <c r="Y14" i="1"/>
  <c r="Y15" i="1" s="1"/>
  <c r="X14" i="1"/>
  <c r="X15" i="1" s="1"/>
  <c r="W14" i="1"/>
  <c r="W15" i="1" s="1"/>
  <c r="V14" i="1"/>
  <c r="V15" i="1" s="1"/>
  <c r="U14" i="1"/>
  <c r="U15" i="1" s="1"/>
  <c r="S14" i="1"/>
  <c r="R14" i="1"/>
  <c r="R15" i="1" s="1"/>
  <c r="Q14" i="1"/>
  <c r="Q15" i="1" s="1"/>
  <c r="P14" i="1"/>
  <c r="P15" i="1" s="1"/>
  <c r="O14" i="1"/>
  <c r="O15" i="1" s="1"/>
  <c r="N14" i="1"/>
  <c r="N15" i="1" s="1"/>
  <c r="M14" i="1"/>
  <c r="M15" i="1" s="1"/>
  <c r="L14" i="1"/>
  <c r="L15" i="1" s="1"/>
  <c r="D14" i="1"/>
  <c r="E14" i="1"/>
  <c r="E15" i="1" s="1"/>
  <c r="F14" i="1"/>
  <c r="F15" i="1" s="1"/>
  <c r="G14" i="1"/>
  <c r="G15" i="1" s="1"/>
  <c r="H14" i="1"/>
  <c r="H15" i="1" s="1"/>
  <c r="I14" i="1"/>
  <c r="I15" i="1" s="1"/>
  <c r="J14" i="1"/>
  <c r="J15" i="1" s="1"/>
  <c r="C14" i="1"/>
  <c r="B14" i="1"/>
  <c r="B15" i="1" s="1"/>
  <c r="B16" i="1" s="1"/>
  <c r="T15" i="1"/>
  <c r="K15" i="1"/>
  <c r="AB15" i="1"/>
  <c r="AA15" i="1"/>
  <c r="S15" i="1"/>
  <c r="D15" i="1"/>
  <c r="C15" i="1"/>
  <c r="W13" i="1"/>
  <c r="Y13" i="1"/>
  <c r="Z13" i="1"/>
  <c r="N13" i="1"/>
  <c r="P13" i="1"/>
  <c r="E13" i="1"/>
  <c r="G13" i="1"/>
  <c r="F5" i="1"/>
  <c r="F6" i="1"/>
  <c r="F7" i="1"/>
  <c r="F8" i="1"/>
  <c r="F9" i="1"/>
  <c r="F10" i="1"/>
  <c r="F11" i="1"/>
  <c r="F12" i="1"/>
  <c r="O5" i="1"/>
  <c r="O6" i="1"/>
  <c r="O7" i="1"/>
  <c r="O8" i="1"/>
  <c r="O9" i="1"/>
  <c r="O10" i="1"/>
  <c r="O11" i="1"/>
  <c r="O12" i="1"/>
  <c r="X5" i="1"/>
  <c r="X6" i="1"/>
  <c r="X7" i="1"/>
  <c r="X8" i="1"/>
  <c r="X9" i="1"/>
  <c r="X10" i="1"/>
  <c r="X11" i="1"/>
  <c r="X12" i="1"/>
  <c r="X3" i="1"/>
  <c r="X4" i="1"/>
  <c r="O3" i="1"/>
  <c r="O4" i="1"/>
  <c r="F3" i="1"/>
  <c r="F4" i="1"/>
  <c r="C13" i="1"/>
  <c r="D13" i="1"/>
  <c r="H13" i="1"/>
  <c r="I13" i="1"/>
  <c r="J13" i="1"/>
  <c r="K13" i="1"/>
  <c r="L13" i="1"/>
  <c r="M13" i="1"/>
  <c r="Q13" i="1"/>
  <c r="R13" i="1"/>
  <c r="S13" i="1"/>
  <c r="T13" i="1"/>
  <c r="U13" i="1"/>
  <c r="V13" i="1"/>
  <c r="AA13" i="1"/>
  <c r="AB13" i="1"/>
  <c r="O13" i="1" l="1"/>
  <c r="X13" i="1"/>
</calcChain>
</file>

<file path=xl/sharedStrings.xml><?xml version="1.0" encoding="utf-8"?>
<sst xmlns="http://schemas.openxmlformats.org/spreadsheetml/2006/main" count="17" uniqueCount="17">
  <si>
    <t>Lima Time</t>
  </si>
  <si>
    <t>BA</t>
  </si>
  <si>
    <t>Brewbirds</t>
  </si>
  <si>
    <t>Harvey</t>
  </si>
  <si>
    <t>HR</t>
  </si>
  <si>
    <t>R</t>
  </si>
  <si>
    <t>RBI</t>
  </si>
  <si>
    <t>SB</t>
  </si>
  <si>
    <t>ERA</t>
  </si>
  <si>
    <t>HD+S</t>
  </si>
  <si>
    <t>K</t>
  </si>
  <si>
    <t>W</t>
  </si>
  <si>
    <t>WHIP</t>
  </si>
  <si>
    <t>Tot Chc</t>
  </si>
  <si>
    <t>Norm Chc</t>
  </si>
  <si>
    <t>Stat</t>
  </si>
  <si>
    <t>xPts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</si>
</sst>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0" borderId="0" xfId="0" applyNumberFormat="1"/>
    <xf numFmtId="0" fontId="2" fillId="0" borderId="0" xfId="0" applyFont="1"/>
    <xf numFmtId="2" fontId="0" fillId="0" borderId="7" xfId="0" applyNumberFormat="1" applyBorder="1" applyAlignment="1">
      <alignment horizontal="center"/>
    </xf>
    <xf numFmtId="166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DEA2-BF14-4D6D-BA63-74311E75F202}">
  <dimension ref="A1:AB30"/>
  <sheetViews>
    <sheetView tabSelected="1" workbookViewId="0">
      <selection activeCell="A17" sqref="A17"/>
    </sheetView>
  </sheetViews>
  <sheetFormatPr defaultRowHeight="15" x14ac:dyDescent="0.25"/>
  <cols>
    <col min="1" max="1" width="9.7109375" bestFit="1" customWidth="1"/>
    <col min="2" max="28" width="6.85546875" customWidth="1"/>
  </cols>
  <sheetData>
    <row r="1" spans="1:28" x14ac:dyDescent="0.25">
      <c r="B1" s="3" t="s">
        <v>0</v>
      </c>
      <c r="C1" s="4"/>
      <c r="D1" s="4"/>
      <c r="E1" s="4"/>
      <c r="F1" s="4"/>
      <c r="G1" s="4"/>
      <c r="H1" s="4"/>
      <c r="I1" s="4"/>
      <c r="J1" s="5"/>
      <c r="K1" s="3" t="s">
        <v>2</v>
      </c>
      <c r="L1" s="4"/>
      <c r="M1" s="4"/>
      <c r="N1" s="4"/>
      <c r="O1" s="4"/>
      <c r="P1" s="4"/>
      <c r="Q1" s="4"/>
      <c r="R1" s="4"/>
      <c r="S1" s="5"/>
      <c r="T1" s="3" t="s">
        <v>3</v>
      </c>
      <c r="U1" s="4"/>
      <c r="V1" s="4"/>
      <c r="W1" s="4"/>
      <c r="X1" s="4"/>
      <c r="Y1" s="4"/>
      <c r="Z1" s="4"/>
      <c r="AA1" s="4"/>
      <c r="AB1" s="5"/>
    </row>
    <row r="2" spans="1:28" x14ac:dyDescent="0.25">
      <c r="A2" t="s">
        <v>15</v>
      </c>
      <c r="B2" s="11">
        <v>-3</v>
      </c>
      <c r="C2" s="12">
        <v>-2</v>
      </c>
      <c r="D2" s="12">
        <v>-1</v>
      </c>
      <c r="E2" s="12">
        <v>-0.5</v>
      </c>
      <c r="F2" s="12">
        <v>0</v>
      </c>
      <c r="G2" s="12">
        <v>0.5</v>
      </c>
      <c r="H2" s="12">
        <v>1</v>
      </c>
      <c r="I2" s="12">
        <v>2</v>
      </c>
      <c r="J2" s="13">
        <v>3</v>
      </c>
      <c r="K2" s="11">
        <v>-3</v>
      </c>
      <c r="L2" s="12">
        <v>-2</v>
      </c>
      <c r="M2" s="12">
        <v>-1</v>
      </c>
      <c r="N2" s="12">
        <v>-0.5</v>
      </c>
      <c r="O2" s="12">
        <v>0</v>
      </c>
      <c r="P2" s="12">
        <v>0.5</v>
      </c>
      <c r="Q2" s="12">
        <v>1</v>
      </c>
      <c r="R2" s="12">
        <v>2</v>
      </c>
      <c r="S2" s="13">
        <v>3</v>
      </c>
      <c r="T2" s="11">
        <v>-3</v>
      </c>
      <c r="U2" s="12">
        <v>-2</v>
      </c>
      <c r="V2" s="12">
        <v>-1</v>
      </c>
      <c r="W2" s="12">
        <v>-0.5</v>
      </c>
      <c r="X2" s="12">
        <v>0</v>
      </c>
      <c r="Y2" s="12">
        <v>0.5</v>
      </c>
      <c r="Z2" s="12">
        <v>1</v>
      </c>
      <c r="AA2" s="12">
        <v>2</v>
      </c>
      <c r="AB2" s="13">
        <v>3</v>
      </c>
    </row>
    <row r="3" spans="1:28" x14ac:dyDescent="0.25">
      <c r="A3" t="s">
        <v>1</v>
      </c>
      <c r="B3" s="6">
        <v>0</v>
      </c>
      <c r="C3" s="7">
        <v>0</v>
      </c>
      <c r="D3" s="7">
        <v>0.25</v>
      </c>
      <c r="E3" s="7">
        <v>0</v>
      </c>
      <c r="F3" s="7">
        <f>1-(SUM(B3:E3)+SUM(G3:J3))</f>
        <v>0.5</v>
      </c>
      <c r="G3" s="7">
        <v>0</v>
      </c>
      <c r="H3" s="7">
        <v>0.25</v>
      </c>
      <c r="I3" s="7">
        <v>0</v>
      </c>
      <c r="J3" s="8">
        <v>0</v>
      </c>
      <c r="K3" s="6">
        <v>0</v>
      </c>
      <c r="L3" s="7">
        <v>0</v>
      </c>
      <c r="M3" s="7">
        <v>0</v>
      </c>
      <c r="N3" s="7">
        <v>0</v>
      </c>
      <c r="O3" s="7">
        <f>1-(SUM(K3:N3)+SUM(P3:S3))</f>
        <v>0.75</v>
      </c>
      <c r="P3" s="7">
        <v>0</v>
      </c>
      <c r="Q3" s="7">
        <v>0.25</v>
      </c>
      <c r="R3" s="7">
        <v>0</v>
      </c>
      <c r="S3" s="8">
        <v>0</v>
      </c>
      <c r="T3" s="6">
        <v>0</v>
      </c>
      <c r="U3" s="7">
        <v>0</v>
      </c>
      <c r="V3" s="7">
        <v>0.05</v>
      </c>
      <c r="W3" s="7">
        <v>0</v>
      </c>
      <c r="X3" s="7">
        <f>1-(SUM(T3:W3)+SUM(Y3:AB3))</f>
        <v>0.9</v>
      </c>
      <c r="Y3" s="7">
        <v>0</v>
      </c>
      <c r="Z3" s="7">
        <v>0.05</v>
      </c>
      <c r="AA3" s="7">
        <v>0</v>
      </c>
      <c r="AB3" s="8">
        <v>0</v>
      </c>
    </row>
    <row r="4" spans="1:28" x14ac:dyDescent="0.25">
      <c r="A4" t="s">
        <v>4</v>
      </c>
      <c r="B4" s="6">
        <v>0</v>
      </c>
      <c r="C4" s="7">
        <v>0</v>
      </c>
      <c r="D4" s="7">
        <v>0.03</v>
      </c>
      <c r="E4" s="7">
        <v>0.05</v>
      </c>
      <c r="F4" s="7">
        <f>1-(SUM(B4:E4)+SUM(G4:J4))</f>
        <v>0.8</v>
      </c>
      <c r="G4" s="7">
        <v>7.0000000000000007E-2</v>
      </c>
      <c r="H4" s="7">
        <v>0.05</v>
      </c>
      <c r="I4" s="7">
        <v>0</v>
      </c>
      <c r="J4" s="8">
        <v>0</v>
      </c>
      <c r="K4" s="6">
        <v>0</v>
      </c>
      <c r="L4" s="7">
        <v>0</v>
      </c>
      <c r="M4" s="7">
        <v>0.02</v>
      </c>
      <c r="N4" s="7">
        <v>0.05</v>
      </c>
      <c r="O4" s="7">
        <f>1-(SUM(K4:N4)+SUM(P4:S4))</f>
        <v>0.2699999999999998</v>
      </c>
      <c r="P4" s="7">
        <v>0.25</v>
      </c>
      <c r="Q4" s="7">
        <v>0.2</v>
      </c>
      <c r="R4" s="7">
        <v>0.14000000000000001</v>
      </c>
      <c r="S4" s="8">
        <v>7.0000000000000007E-2</v>
      </c>
      <c r="T4" s="6">
        <v>0.01</v>
      </c>
      <c r="U4" s="7">
        <v>0.08</v>
      </c>
      <c r="V4" s="7">
        <v>0.08</v>
      </c>
      <c r="W4" s="7">
        <v>0.18</v>
      </c>
      <c r="X4" s="7">
        <f>1-(SUM(T4:W4)+SUM(Y4:AB4))</f>
        <v>0.32000000000000006</v>
      </c>
      <c r="Y4" s="7">
        <v>0.33</v>
      </c>
      <c r="Z4" s="7">
        <v>0</v>
      </c>
      <c r="AA4" s="7">
        <v>0</v>
      </c>
      <c r="AB4" s="8">
        <v>0</v>
      </c>
    </row>
    <row r="5" spans="1:28" x14ac:dyDescent="0.25">
      <c r="A5" t="s">
        <v>5</v>
      </c>
      <c r="B5" s="6">
        <v>0.01</v>
      </c>
      <c r="C5" s="7">
        <v>0.01</v>
      </c>
      <c r="D5" s="7">
        <v>0.06</v>
      </c>
      <c r="E5" s="7">
        <v>0.12</v>
      </c>
      <c r="F5" s="7">
        <f t="shared" ref="F5:F12" si="0">1-(SUM(B5:E5)+SUM(G5:J5))</f>
        <v>0.64999999999999991</v>
      </c>
      <c r="G5" s="7">
        <v>0.1</v>
      </c>
      <c r="H5" s="7">
        <v>0.05</v>
      </c>
      <c r="I5" s="7">
        <v>0</v>
      </c>
      <c r="J5" s="8">
        <v>0</v>
      </c>
      <c r="K5" s="6">
        <v>0</v>
      </c>
      <c r="L5" s="7">
        <v>0</v>
      </c>
      <c r="M5" s="7">
        <v>0</v>
      </c>
      <c r="N5" s="7">
        <v>0</v>
      </c>
      <c r="O5" s="7">
        <f t="shared" ref="O5:O12" si="1">1-(SUM(K5:N5)+SUM(P5:S5))</f>
        <v>1</v>
      </c>
      <c r="P5" s="7">
        <v>0</v>
      </c>
      <c r="Q5" s="7">
        <v>0</v>
      </c>
      <c r="R5" s="7">
        <v>0</v>
      </c>
      <c r="S5" s="8">
        <v>0</v>
      </c>
      <c r="T5" s="6">
        <v>0</v>
      </c>
      <c r="U5" s="7">
        <v>0</v>
      </c>
      <c r="V5" s="7">
        <v>0</v>
      </c>
      <c r="W5" s="7">
        <v>0</v>
      </c>
      <c r="X5" s="7">
        <f t="shared" ref="X5:X12" si="2">1-(SUM(T5:W5)+SUM(Y5:AB5))</f>
        <v>1</v>
      </c>
      <c r="Y5" s="7">
        <v>0</v>
      </c>
      <c r="Z5" s="7">
        <v>0</v>
      </c>
      <c r="AA5" s="7">
        <v>0</v>
      </c>
      <c r="AB5" s="8">
        <v>0</v>
      </c>
    </row>
    <row r="6" spans="1:28" x14ac:dyDescent="0.25">
      <c r="A6" t="s">
        <v>6</v>
      </c>
      <c r="B6" s="6">
        <v>0</v>
      </c>
      <c r="C6" s="7">
        <v>0</v>
      </c>
      <c r="D6" s="7">
        <v>0</v>
      </c>
      <c r="E6" s="7">
        <v>0</v>
      </c>
      <c r="F6" s="7">
        <f t="shared" si="0"/>
        <v>1</v>
      </c>
      <c r="G6" s="7">
        <v>0</v>
      </c>
      <c r="H6" s="7">
        <v>0</v>
      </c>
      <c r="I6" s="7">
        <v>0</v>
      </c>
      <c r="J6" s="8">
        <v>0</v>
      </c>
      <c r="K6" s="6">
        <v>0</v>
      </c>
      <c r="L6" s="7">
        <v>0</v>
      </c>
      <c r="M6" s="7">
        <v>0.1</v>
      </c>
      <c r="N6" s="7">
        <v>0.2</v>
      </c>
      <c r="O6" s="7">
        <f t="shared" si="1"/>
        <v>0.7</v>
      </c>
      <c r="P6" s="7">
        <v>0</v>
      </c>
      <c r="Q6" s="7">
        <v>0</v>
      </c>
      <c r="R6" s="7">
        <v>0</v>
      </c>
      <c r="S6" s="8">
        <v>0</v>
      </c>
      <c r="T6" s="6">
        <v>0</v>
      </c>
      <c r="U6" s="7">
        <v>0.01</v>
      </c>
      <c r="V6" s="7">
        <v>0.05</v>
      </c>
      <c r="W6" s="7">
        <v>7.0000000000000007E-2</v>
      </c>
      <c r="X6" s="7">
        <f t="shared" si="2"/>
        <v>0.23999999999999988</v>
      </c>
      <c r="Y6" s="7">
        <v>0.22</v>
      </c>
      <c r="Z6" s="7">
        <v>0.2</v>
      </c>
      <c r="AA6" s="7">
        <v>0.18</v>
      </c>
      <c r="AB6" s="8">
        <v>0.03</v>
      </c>
    </row>
    <row r="7" spans="1:28" x14ac:dyDescent="0.25">
      <c r="A7" t="s">
        <v>7</v>
      </c>
      <c r="B7" s="6">
        <v>0</v>
      </c>
      <c r="C7" s="7">
        <v>0</v>
      </c>
      <c r="D7" s="7">
        <v>0.01</v>
      </c>
      <c r="E7" s="7">
        <v>0.02</v>
      </c>
      <c r="F7" s="7">
        <f t="shared" si="0"/>
        <v>0.26</v>
      </c>
      <c r="G7" s="7">
        <v>0.4</v>
      </c>
      <c r="H7" s="7">
        <v>0.3</v>
      </c>
      <c r="I7" s="7">
        <v>0.01</v>
      </c>
      <c r="J7" s="8">
        <v>0</v>
      </c>
      <c r="K7" s="6">
        <v>0</v>
      </c>
      <c r="L7" s="7">
        <v>0</v>
      </c>
      <c r="M7" s="7">
        <v>0</v>
      </c>
      <c r="N7" s="7">
        <v>0</v>
      </c>
      <c r="O7" s="7">
        <f t="shared" si="1"/>
        <v>0.74</v>
      </c>
      <c r="P7" s="7">
        <v>0.15</v>
      </c>
      <c r="Q7" s="7">
        <v>0.1</v>
      </c>
      <c r="R7" s="7">
        <v>0.01</v>
      </c>
      <c r="S7" s="8">
        <v>0</v>
      </c>
      <c r="T7" s="6">
        <v>0</v>
      </c>
      <c r="U7" s="7">
        <v>0.01</v>
      </c>
      <c r="V7" s="7">
        <v>0.09</v>
      </c>
      <c r="W7" s="7">
        <v>0.15</v>
      </c>
      <c r="X7" s="7">
        <f t="shared" si="2"/>
        <v>0.75</v>
      </c>
      <c r="Y7" s="7">
        <v>0</v>
      </c>
      <c r="Z7" s="7">
        <v>0</v>
      </c>
      <c r="AA7" s="7">
        <v>0</v>
      </c>
      <c r="AB7" s="8">
        <v>0</v>
      </c>
    </row>
    <row r="8" spans="1:28" x14ac:dyDescent="0.25">
      <c r="A8" t="s">
        <v>8</v>
      </c>
      <c r="B8" s="6">
        <v>0</v>
      </c>
      <c r="C8" s="7">
        <v>0</v>
      </c>
      <c r="D8" s="7">
        <v>0</v>
      </c>
      <c r="E8" s="7">
        <v>0</v>
      </c>
      <c r="F8" s="7">
        <f t="shared" si="0"/>
        <v>1</v>
      </c>
      <c r="G8" s="7">
        <v>0</v>
      </c>
      <c r="H8" s="7">
        <v>0</v>
      </c>
      <c r="I8" s="7">
        <v>0</v>
      </c>
      <c r="J8" s="8">
        <v>0</v>
      </c>
      <c r="K8" s="6">
        <v>0</v>
      </c>
      <c r="L8" s="7">
        <v>0</v>
      </c>
      <c r="M8" s="7">
        <v>0.04</v>
      </c>
      <c r="N8" s="7">
        <v>0.01</v>
      </c>
      <c r="O8" s="7">
        <f t="shared" si="1"/>
        <v>0.65</v>
      </c>
      <c r="P8" s="7">
        <v>0.05</v>
      </c>
      <c r="Q8" s="7">
        <v>0.25</v>
      </c>
      <c r="R8" s="7">
        <v>0</v>
      </c>
      <c r="S8" s="8">
        <v>0</v>
      </c>
      <c r="T8" s="6">
        <v>0</v>
      </c>
      <c r="U8" s="7">
        <v>0</v>
      </c>
      <c r="V8" s="7">
        <v>0.35</v>
      </c>
      <c r="W8" s="7">
        <v>0.1</v>
      </c>
      <c r="X8" s="7">
        <f t="shared" si="2"/>
        <v>0.5</v>
      </c>
      <c r="Y8" s="7">
        <v>0.01</v>
      </c>
      <c r="Z8" s="7">
        <v>0.04</v>
      </c>
      <c r="AA8" s="7">
        <v>0</v>
      </c>
      <c r="AB8" s="8">
        <v>0</v>
      </c>
    </row>
    <row r="9" spans="1:28" x14ac:dyDescent="0.25">
      <c r="A9" t="s">
        <v>9</v>
      </c>
      <c r="B9" s="6">
        <v>0</v>
      </c>
      <c r="C9" s="7">
        <v>0.05</v>
      </c>
      <c r="D9" s="7">
        <v>0.1</v>
      </c>
      <c r="E9" s="7">
        <v>0.2</v>
      </c>
      <c r="F9" s="7">
        <f t="shared" si="0"/>
        <v>0.64999999999999991</v>
      </c>
      <c r="G9" s="7">
        <v>0</v>
      </c>
      <c r="H9" s="7">
        <v>0</v>
      </c>
      <c r="I9" s="7">
        <v>0</v>
      </c>
      <c r="J9" s="8">
        <v>0</v>
      </c>
      <c r="K9" s="6">
        <v>0</v>
      </c>
      <c r="L9" s="7">
        <v>0</v>
      </c>
      <c r="M9" s="7">
        <v>0.3</v>
      </c>
      <c r="N9" s="7">
        <v>0.5</v>
      </c>
      <c r="O9" s="7">
        <f t="shared" si="1"/>
        <v>0.14999999999999991</v>
      </c>
      <c r="P9" s="7">
        <v>0.03</v>
      </c>
      <c r="Q9" s="7">
        <v>0.02</v>
      </c>
      <c r="R9" s="7">
        <v>0</v>
      </c>
      <c r="S9" s="8">
        <v>0</v>
      </c>
      <c r="T9" s="6">
        <v>0</v>
      </c>
      <c r="U9" s="7">
        <v>0</v>
      </c>
      <c r="V9" s="7">
        <v>0</v>
      </c>
      <c r="W9" s="7">
        <v>0</v>
      </c>
      <c r="X9" s="7">
        <f t="shared" si="2"/>
        <v>0.15000000000000002</v>
      </c>
      <c r="Y9" s="7">
        <v>0.4</v>
      </c>
      <c r="Z9" s="7">
        <v>0.35</v>
      </c>
      <c r="AA9" s="7">
        <v>0.1</v>
      </c>
      <c r="AB9" s="8">
        <v>0</v>
      </c>
    </row>
    <row r="10" spans="1:28" x14ac:dyDescent="0.25">
      <c r="A10" t="s">
        <v>10</v>
      </c>
      <c r="B10" s="6">
        <v>0</v>
      </c>
      <c r="C10" s="7">
        <v>0</v>
      </c>
      <c r="D10" s="7">
        <v>0</v>
      </c>
      <c r="E10" s="7">
        <v>0</v>
      </c>
      <c r="F10" s="7">
        <f t="shared" si="0"/>
        <v>0.8</v>
      </c>
      <c r="G10" s="7">
        <v>0.2</v>
      </c>
      <c r="H10" s="7">
        <v>0</v>
      </c>
      <c r="I10" s="7">
        <v>0</v>
      </c>
      <c r="J10" s="8">
        <v>0</v>
      </c>
      <c r="K10" s="6">
        <v>0</v>
      </c>
      <c r="L10" s="7">
        <v>0</v>
      </c>
      <c r="M10" s="7">
        <v>0.1</v>
      </c>
      <c r="N10" s="7">
        <v>0.15</v>
      </c>
      <c r="O10" s="7">
        <f t="shared" si="1"/>
        <v>0.75</v>
      </c>
      <c r="P10" s="7">
        <v>0</v>
      </c>
      <c r="Q10" s="7">
        <v>0</v>
      </c>
      <c r="R10" s="7">
        <v>0</v>
      </c>
      <c r="S10" s="8">
        <v>0</v>
      </c>
      <c r="T10" s="6">
        <v>0</v>
      </c>
      <c r="U10" s="7">
        <v>0</v>
      </c>
      <c r="V10" s="7">
        <v>0.1</v>
      </c>
      <c r="W10" s="7">
        <v>0.4</v>
      </c>
      <c r="X10" s="7">
        <f t="shared" si="2"/>
        <v>9.9999999999999978E-2</v>
      </c>
      <c r="Y10" s="7">
        <v>0.4</v>
      </c>
      <c r="Z10" s="7">
        <v>0</v>
      </c>
      <c r="AA10" s="7">
        <v>0</v>
      </c>
      <c r="AB10" s="8">
        <v>0</v>
      </c>
    </row>
    <row r="11" spans="1:28" x14ac:dyDescent="0.25">
      <c r="A11" t="s">
        <v>11</v>
      </c>
      <c r="B11" s="6">
        <v>0.05</v>
      </c>
      <c r="C11" s="7">
        <v>0.1</v>
      </c>
      <c r="D11" s="7">
        <v>0.15</v>
      </c>
      <c r="E11" s="7">
        <v>0.25</v>
      </c>
      <c r="F11" s="7">
        <f t="shared" si="0"/>
        <v>0.19999999999999996</v>
      </c>
      <c r="G11" s="7">
        <v>0.15</v>
      </c>
      <c r="H11" s="7">
        <v>0.1</v>
      </c>
      <c r="I11" s="7">
        <v>0</v>
      </c>
      <c r="J11" s="8">
        <v>0</v>
      </c>
      <c r="K11" s="6">
        <v>0.03</v>
      </c>
      <c r="L11" s="7">
        <v>0.05</v>
      </c>
      <c r="M11" s="7">
        <v>0.1</v>
      </c>
      <c r="N11" s="7">
        <v>0.25</v>
      </c>
      <c r="O11" s="7">
        <f t="shared" si="1"/>
        <v>0.21999999999999997</v>
      </c>
      <c r="P11" s="7">
        <v>0.35</v>
      </c>
      <c r="Q11" s="7">
        <v>0</v>
      </c>
      <c r="R11" s="7">
        <v>0</v>
      </c>
      <c r="S11" s="8">
        <v>0</v>
      </c>
      <c r="T11" s="6">
        <v>0</v>
      </c>
      <c r="U11" s="7">
        <v>0.05</v>
      </c>
      <c r="V11" s="7">
        <v>0.15</v>
      </c>
      <c r="W11" s="7">
        <v>0.25</v>
      </c>
      <c r="X11" s="7">
        <f t="shared" si="2"/>
        <v>0.25</v>
      </c>
      <c r="Y11" s="7">
        <v>0.15</v>
      </c>
      <c r="Z11" s="7">
        <v>0.1</v>
      </c>
      <c r="AA11" s="7">
        <v>0.05</v>
      </c>
      <c r="AB11" s="8">
        <v>0</v>
      </c>
    </row>
    <row r="12" spans="1:28" x14ac:dyDescent="0.25">
      <c r="A12" t="s">
        <v>12</v>
      </c>
      <c r="B12" s="6">
        <v>0.02</v>
      </c>
      <c r="C12" s="7">
        <v>0.08</v>
      </c>
      <c r="D12" s="7">
        <v>0.25</v>
      </c>
      <c r="E12" s="7">
        <v>0</v>
      </c>
      <c r="F12" s="7">
        <f t="shared" si="0"/>
        <v>0.65</v>
      </c>
      <c r="G12" s="7">
        <v>0</v>
      </c>
      <c r="H12" s="7">
        <v>0</v>
      </c>
      <c r="I12" s="7">
        <v>0</v>
      </c>
      <c r="J12" s="8">
        <v>0</v>
      </c>
      <c r="K12" s="6"/>
      <c r="L12" s="7"/>
      <c r="M12" s="7"/>
      <c r="N12" s="7"/>
      <c r="O12" s="7">
        <f t="shared" si="1"/>
        <v>1</v>
      </c>
      <c r="P12" s="7"/>
      <c r="Q12" s="7"/>
      <c r="R12" s="7"/>
      <c r="S12" s="8"/>
      <c r="T12" s="6">
        <v>0</v>
      </c>
      <c r="U12" s="7">
        <v>0.05</v>
      </c>
      <c r="V12" s="7">
        <v>0.3</v>
      </c>
      <c r="W12" s="7">
        <v>0</v>
      </c>
      <c r="X12" s="7">
        <f t="shared" si="2"/>
        <v>0.4</v>
      </c>
      <c r="Y12" s="7">
        <v>0</v>
      </c>
      <c r="Z12" s="7">
        <v>0.25</v>
      </c>
      <c r="AA12" s="7">
        <v>0</v>
      </c>
      <c r="AB12" s="8">
        <v>0</v>
      </c>
    </row>
    <row r="13" spans="1:28" x14ac:dyDescent="0.25">
      <c r="A13" t="s">
        <v>13</v>
      </c>
      <c r="B13" s="6">
        <f>SUM(B3:B12)</f>
        <v>0.08</v>
      </c>
      <c r="C13" s="7">
        <f t="shared" ref="C13:AB13" si="3">SUM(C3:C12)</f>
        <v>0.24</v>
      </c>
      <c r="D13" s="7">
        <f t="shared" si="3"/>
        <v>0.85000000000000009</v>
      </c>
      <c r="E13" s="7">
        <f t="shared" ref="E13" si="4">SUM(E3:E12)</f>
        <v>0.64</v>
      </c>
      <c r="F13" s="7">
        <f>SUM(F3:F12)</f>
        <v>6.51</v>
      </c>
      <c r="G13" s="7">
        <f t="shared" ref="G13" si="5">SUM(G3:G12)</f>
        <v>0.92</v>
      </c>
      <c r="H13" s="7">
        <f t="shared" si="3"/>
        <v>0.74999999999999989</v>
      </c>
      <c r="I13" s="7">
        <f t="shared" si="3"/>
        <v>0.01</v>
      </c>
      <c r="J13" s="8">
        <f t="shared" si="3"/>
        <v>0</v>
      </c>
      <c r="K13" s="6">
        <f t="shared" si="3"/>
        <v>0.03</v>
      </c>
      <c r="L13" s="7">
        <f t="shared" si="3"/>
        <v>0.05</v>
      </c>
      <c r="M13" s="7">
        <f t="shared" si="3"/>
        <v>0.65999999999999992</v>
      </c>
      <c r="N13" s="7">
        <f t="shared" ref="N13" si="6">SUM(N3:N12)</f>
        <v>1.1600000000000001</v>
      </c>
      <c r="O13" s="7">
        <f t="shared" ref="O13" si="7">SUM(O3:O12)</f>
        <v>6.2299999999999995</v>
      </c>
      <c r="P13" s="7">
        <f t="shared" ref="P13" si="8">SUM(P3:P12)</f>
        <v>0.83</v>
      </c>
      <c r="Q13" s="7">
        <f t="shared" si="3"/>
        <v>0.82000000000000006</v>
      </c>
      <c r="R13" s="7">
        <f t="shared" si="3"/>
        <v>0.15000000000000002</v>
      </c>
      <c r="S13" s="8">
        <f t="shared" si="3"/>
        <v>7.0000000000000007E-2</v>
      </c>
      <c r="T13" s="6">
        <f t="shared" si="3"/>
        <v>0.01</v>
      </c>
      <c r="U13" s="7">
        <f t="shared" si="3"/>
        <v>0.2</v>
      </c>
      <c r="V13" s="7">
        <f t="shared" si="3"/>
        <v>1.17</v>
      </c>
      <c r="W13" s="7">
        <f t="shared" ref="W13" si="9">SUM(W3:W12)</f>
        <v>1.1499999999999999</v>
      </c>
      <c r="X13" s="7">
        <f t="shared" ref="X13" si="10">SUM(X3:X12)</f>
        <v>4.6100000000000003</v>
      </c>
      <c r="Y13" s="7">
        <f t="shared" ref="Y13" si="11">SUM(Y3:Y12)</f>
        <v>1.51</v>
      </c>
      <c r="Z13" s="7">
        <f t="shared" ref="Z13" si="12">SUM(Z3:Z12)</f>
        <v>0.98999999999999988</v>
      </c>
      <c r="AA13" s="7">
        <f t="shared" si="3"/>
        <v>0.33</v>
      </c>
      <c r="AB13" s="8">
        <f t="shared" si="3"/>
        <v>0.03</v>
      </c>
    </row>
    <row r="14" spans="1:28" x14ac:dyDescent="0.25">
      <c r="A14" t="s">
        <v>14</v>
      </c>
      <c r="B14" s="6">
        <f>B13/10</f>
        <v>8.0000000000000002E-3</v>
      </c>
      <c r="C14" s="7">
        <f>C13/10</f>
        <v>2.4E-2</v>
      </c>
      <c r="D14" s="7">
        <f t="shared" ref="D14:J14" si="13">D13/10</f>
        <v>8.5000000000000006E-2</v>
      </c>
      <c r="E14" s="7">
        <f t="shared" si="13"/>
        <v>6.4000000000000001E-2</v>
      </c>
      <c r="F14" s="7">
        <f t="shared" si="13"/>
        <v>0.65100000000000002</v>
      </c>
      <c r="G14" s="7">
        <f t="shared" si="13"/>
        <v>9.1999999999999998E-2</v>
      </c>
      <c r="H14" s="7">
        <f t="shared" si="13"/>
        <v>7.4999999999999983E-2</v>
      </c>
      <c r="I14" s="7">
        <f t="shared" si="13"/>
        <v>1E-3</v>
      </c>
      <c r="J14" s="7">
        <f t="shared" si="13"/>
        <v>0</v>
      </c>
      <c r="K14" s="6">
        <f>K13/10</f>
        <v>3.0000000000000001E-3</v>
      </c>
      <c r="L14" s="7">
        <f>L13/10</f>
        <v>5.0000000000000001E-3</v>
      </c>
      <c r="M14" s="7">
        <f t="shared" ref="M14" si="14">M13/10</f>
        <v>6.5999999999999989E-2</v>
      </c>
      <c r="N14" s="7">
        <f t="shared" ref="N14" si="15">N13/10</f>
        <v>0.11600000000000002</v>
      </c>
      <c r="O14" s="7">
        <f t="shared" ref="O14" si="16">O13/10</f>
        <v>0.623</v>
      </c>
      <c r="P14" s="7">
        <f t="shared" ref="P14" si="17">P13/10</f>
        <v>8.299999999999999E-2</v>
      </c>
      <c r="Q14" s="7">
        <f t="shared" ref="Q14" si="18">Q13/10</f>
        <v>8.2000000000000003E-2</v>
      </c>
      <c r="R14" s="7">
        <f t="shared" ref="R14" si="19">R13/10</f>
        <v>1.5000000000000003E-2</v>
      </c>
      <c r="S14" s="7">
        <f t="shared" ref="S14" si="20">S13/10</f>
        <v>7.000000000000001E-3</v>
      </c>
      <c r="T14" s="6">
        <f>T13/10</f>
        <v>1E-3</v>
      </c>
      <c r="U14" s="7">
        <f>U13/10</f>
        <v>0.02</v>
      </c>
      <c r="V14" s="7">
        <f t="shared" ref="V14" si="21">V13/10</f>
        <v>0.11699999999999999</v>
      </c>
      <c r="W14" s="7">
        <f t="shared" ref="W14" si="22">W13/10</f>
        <v>0.11499999999999999</v>
      </c>
      <c r="X14" s="7">
        <f t="shared" ref="X14" si="23">X13/10</f>
        <v>0.46100000000000002</v>
      </c>
      <c r="Y14" s="7">
        <f t="shared" ref="Y14" si="24">Y13/10</f>
        <v>0.151</v>
      </c>
      <c r="Z14" s="7">
        <f t="shared" ref="Z14" si="25">Z13/10</f>
        <v>9.8999999999999991E-2</v>
      </c>
      <c r="AA14" s="7">
        <f t="shared" ref="AA14" si="26">AA13/10</f>
        <v>3.3000000000000002E-2</v>
      </c>
      <c r="AB14" s="7">
        <f t="shared" ref="AB14" si="27">AB13/10</f>
        <v>3.0000000000000001E-3</v>
      </c>
    </row>
    <row r="15" spans="1:28" x14ac:dyDescent="0.25">
      <c r="B15" s="6">
        <f>B14*B2</f>
        <v>-2.4E-2</v>
      </c>
      <c r="C15" s="7">
        <f>C14*C2</f>
        <v>-4.8000000000000001E-2</v>
      </c>
      <c r="D15" s="7">
        <f t="shared" ref="D15:J15" si="28">D14*D2</f>
        <v>-8.5000000000000006E-2</v>
      </c>
      <c r="E15" s="7">
        <f t="shared" si="28"/>
        <v>-3.2000000000000001E-2</v>
      </c>
      <c r="F15" s="7">
        <f t="shared" si="28"/>
        <v>0</v>
      </c>
      <c r="G15" s="7">
        <f t="shared" si="28"/>
        <v>4.5999999999999999E-2</v>
      </c>
      <c r="H15" s="7">
        <f t="shared" si="28"/>
        <v>7.4999999999999983E-2</v>
      </c>
      <c r="I15" s="7">
        <f t="shared" si="28"/>
        <v>2E-3</v>
      </c>
      <c r="J15" s="7">
        <f t="shared" si="28"/>
        <v>0</v>
      </c>
      <c r="K15" s="6">
        <f>K14*K2</f>
        <v>-9.0000000000000011E-3</v>
      </c>
      <c r="L15" s="7">
        <f>L14*L2</f>
        <v>-0.01</v>
      </c>
      <c r="M15" s="7">
        <f t="shared" ref="M15" si="29">M14*M2</f>
        <v>-6.5999999999999989E-2</v>
      </c>
      <c r="N15" s="7">
        <f t="shared" ref="N15" si="30">N14*N2</f>
        <v>-5.800000000000001E-2</v>
      </c>
      <c r="O15" s="7">
        <f t="shared" ref="O15" si="31">O14*O2</f>
        <v>0</v>
      </c>
      <c r="P15" s="7">
        <f t="shared" ref="P15" si="32">P14*P2</f>
        <v>4.1499999999999995E-2</v>
      </c>
      <c r="Q15" s="7">
        <f t="shared" ref="Q15" si="33">Q14*Q2</f>
        <v>8.2000000000000003E-2</v>
      </c>
      <c r="R15" s="7">
        <f t="shared" ref="R15" si="34">R14*R2</f>
        <v>3.0000000000000006E-2</v>
      </c>
      <c r="S15" s="7">
        <f t="shared" ref="S15" si="35">S14*S2</f>
        <v>2.1000000000000005E-2</v>
      </c>
      <c r="T15" s="6">
        <f>T14*T2</f>
        <v>-3.0000000000000001E-3</v>
      </c>
      <c r="U15" s="7">
        <f>U14*U2</f>
        <v>-0.04</v>
      </c>
      <c r="V15" s="7">
        <f t="shared" ref="V15" si="36">V14*V2</f>
        <v>-0.11699999999999999</v>
      </c>
      <c r="W15" s="7">
        <f t="shared" ref="W15" si="37">W14*W2</f>
        <v>-5.7499999999999996E-2</v>
      </c>
      <c r="X15" s="7">
        <f t="shared" ref="X15" si="38">X14*X2</f>
        <v>0</v>
      </c>
      <c r="Y15" s="7">
        <f t="shared" ref="Y15" si="39">Y14*Y2</f>
        <v>7.5499999999999998E-2</v>
      </c>
      <c r="Z15" s="7">
        <f t="shared" ref="Z15" si="40">Z14*Z2</f>
        <v>9.8999999999999991E-2</v>
      </c>
      <c r="AA15" s="7">
        <f t="shared" ref="AA15" si="41">AA14*AA2</f>
        <v>6.6000000000000003E-2</v>
      </c>
      <c r="AB15" s="7">
        <f t="shared" ref="AB15" si="42">AB14*AB2</f>
        <v>9.0000000000000011E-3</v>
      </c>
    </row>
    <row r="16" spans="1:28" x14ac:dyDescent="0.25">
      <c r="A16" t="s">
        <v>16</v>
      </c>
      <c r="B16" s="16">
        <f>SUM(B15:J15)</f>
        <v>-6.6000000000000031E-2</v>
      </c>
      <c r="C16" s="2"/>
      <c r="D16" s="2"/>
      <c r="E16" s="2"/>
      <c r="F16" s="2"/>
      <c r="G16" s="2"/>
      <c r="H16" s="2"/>
      <c r="I16" s="2"/>
      <c r="J16" s="10"/>
      <c r="K16" s="9">
        <f>SUM(K15:S15)</f>
        <v>3.1499999999999993E-2</v>
      </c>
      <c r="L16" s="2"/>
      <c r="M16" s="2"/>
      <c r="N16" s="2"/>
      <c r="O16" s="2"/>
      <c r="P16" s="2"/>
      <c r="Q16" s="2"/>
      <c r="R16" s="2"/>
      <c r="S16" s="10"/>
      <c r="T16" s="9">
        <f>SUM(T15:AB15)</f>
        <v>3.199999999999998E-2</v>
      </c>
      <c r="U16" s="2"/>
      <c r="V16" s="2"/>
      <c r="W16" s="2"/>
      <c r="X16" s="2"/>
      <c r="Y16" s="2"/>
      <c r="Z16" s="2"/>
      <c r="AA16" s="2"/>
      <c r="AB16" s="10"/>
    </row>
    <row r="17" spans="2:28" x14ac:dyDescent="0.25">
      <c r="B17" s="1"/>
      <c r="C17" s="1"/>
      <c r="D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20" spans="2:28" x14ac:dyDescent="0.25">
      <c r="G20" s="15"/>
      <c r="H20" s="15"/>
    </row>
    <row r="21" spans="2:28" x14ac:dyDescent="0.25">
      <c r="H21" s="17"/>
    </row>
    <row r="22" spans="2:28" x14ac:dyDescent="0.25">
      <c r="H22" s="17"/>
    </row>
    <row r="23" spans="2:28" x14ac:dyDescent="0.25">
      <c r="H23" s="17"/>
    </row>
    <row r="24" spans="2:28" x14ac:dyDescent="0.25">
      <c r="H24" s="17"/>
      <c r="R24" s="14"/>
    </row>
    <row r="25" spans="2:28" x14ac:dyDescent="0.25">
      <c r="H25" s="17"/>
    </row>
    <row r="26" spans="2:28" x14ac:dyDescent="0.25">
      <c r="H26" s="17"/>
    </row>
    <row r="27" spans="2:28" x14ac:dyDescent="0.25">
      <c r="H27" s="17"/>
    </row>
    <row r="28" spans="2:28" x14ac:dyDescent="0.25">
      <c r="H28" s="17"/>
    </row>
    <row r="29" spans="2:28" x14ac:dyDescent="0.25">
      <c r="H29" s="17"/>
    </row>
    <row r="30" spans="2:28" x14ac:dyDescent="0.25">
      <c r="H30" s="18"/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Madison, 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Haueter, Daniel</dc:creator>
  <cp:lastModifiedBy>Haueter, Daniel</cp:lastModifiedBy>
  <dcterms:created xsi:type="dcterms:W3CDTF">2024-09-23T14:28:17Z</dcterms:created>
  <dcterms:modified xsi:type="dcterms:W3CDTF">2024-09-23T17:29:58Z</dcterms:modified>
</cp:coreProperties>
</file>